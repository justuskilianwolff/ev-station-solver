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earle\OneDrive - University of Edinburgh\Research\location_chargers\ev-station-solver\"/>
    </mc:Choice>
  </mc:AlternateContent>
  <xr:revisionPtr revIDLastSave="0" documentId="13_ncr:1_{65E8434A-019C-4A27-98E7-7A859786CFE0}" xr6:coauthVersionLast="47" xr6:coauthVersionMax="47" xr10:uidLastSave="{00000000-0000-0000-0000-000000000000}"/>
  <bookViews>
    <workbookView xWindow="4910" yWindow="210" windowWidth="14400" windowHeight="7400" xr2:uid="{A5355931-79B7-4141-8BAA-F85E000CA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</calcChain>
</file>

<file path=xl/sharedStrings.xml><?xml version="1.0" encoding="utf-8"?>
<sst xmlns="http://schemas.openxmlformats.org/spreadsheetml/2006/main" count="21" uniqueCount="14">
  <si>
    <t>T</t>
  </si>
  <si>
    <t>S</t>
  </si>
  <si>
    <t>num_vehicales</t>
  </si>
  <si>
    <t>Objective_Value</t>
  </si>
  <si>
    <t>Solve_Time</t>
  </si>
  <si>
    <t>MIP_Gap</t>
  </si>
  <si>
    <t>solstatus</t>
  </si>
  <si>
    <t>solvestatus</t>
  </si>
  <si>
    <t>lower_bound</t>
  </si>
  <si>
    <t>-</t>
  </si>
  <si>
    <t>exact</t>
  </si>
  <si>
    <t>gap_obj</t>
  </si>
  <si>
    <t>gap_lb</t>
  </si>
  <si>
    <t>heuristic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</si>
</sst>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69B1-3C08-4ECC-ADE7-09056EA2CF4D}">
  <dimension ref="A1:M20"/>
  <sheetViews>
    <sheetView tabSelected="1" topLeftCell="B2" workbookViewId="0">
      <selection activeCell="F11" sqref="F11"/>
    </sheetView>
  </sheetViews>
  <sheetFormatPr defaultRowHeight="14.5" x14ac:dyDescent="0.35"/>
  <sheetData>
    <row r="1" spans="1:13" x14ac:dyDescent="0.35">
      <c r="C1" s="1" t="s">
        <v>10</v>
      </c>
      <c r="D1" s="1"/>
      <c r="E1" s="1"/>
      <c r="F1" s="1"/>
      <c r="G1" s="1"/>
      <c r="H1" s="1"/>
      <c r="I1" s="1"/>
      <c r="J1" s="1" t="s">
        <v>13</v>
      </c>
      <c r="K1" s="1"/>
      <c r="L1" s="1"/>
      <c r="M1" s="1"/>
    </row>
    <row r="2" spans="1:1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3</v>
      </c>
      <c r="K2" t="s">
        <v>4</v>
      </c>
      <c r="L2" t="s">
        <v>11</v>
      </c>
      <c r="M2" t="s">
        <v>12</v>
      </c>
    </row>
    <row r="3" spans="1:13" x14ac:dyDescent="0.35">
      <c r="A3">
        <v>300</v>
      </c>
      <c r="B3">
        <v>1</v>
      </c>
      <c r="C3">
        <v>10</v>
      </c>
      <c r="D3">
        <v>16368.840099847999</v>
      </c>
      <c r="E3">
        <v>0.31731033325195301</v>
      </c>
      <c r="F3" s="2">
        <v>9.9999999994504902E-5</v>
      </c>
      <c r="G3">
        <v>1</v>
      </c>
      <c r="H3">
        <v>3</v>
      </c>
      <c r="I3">
        <v>16368.8237310079</v>
      </c>
      <c r="J3">
        <v>20756.381452552399</v>
      </c>
      <c r="K3">
        <v>0.13625669479370101</v>
      </c>
      <c r="L3">
        <f>IF(OR(G3=2,G3=1),100*(J3-D3)/D3,"-")</f>
        <v>26.804228802657452</v>
      </c>
      <c r="M3">
        <f>100*(J3-I3)/J3</f>
        <v>21.138355601982656</v>
      </c>
    </row>
    <row r="4" spans="1:13" x14ac:dyDescent="0.35">
      <c r="A4">
        <v>300</v>
      </c>
      <c r="B4">
        <v>3</v>
      </c>
      <c r="C4">
        <v>10</v>
      </c>
      <c r="D4">
        <v>21385.518118837801</v>
      </c>
      <c r="E4">
        <v>0.69419312477111805</v>
      </c>
      <c r="F4" s="2">
        <v>9.9999999992869898E-5</v>
      </c>
      <c r="G4">
        <v>1</v>
      </c>
      <c r="H4">
        <v>3</v>
      </c>
      <c r="I4">
        <v>21385.496733319698</v>
      </c>
      <c r="J4">
        <v>26305.716527890301</v>
      </c>
      <c r="K4">
        <v>0.167166233062744</v>
      </c>
      <c r="L4">
        <f t="shared" ref="L4:L20" si="0">IF(OR(G4=2,G4=1),100*(J4-D4)/D4,"-")</f>
        <v>23.007150828477982</v>
      </c>
      <c r="M4">
        <f t="shared" ref="M4:M20" si="1">100*(J4-I4)/J4</f>
        <v>18.703994583663981</v>
      </c>
    </row>
    <row r="5" spans="1:13" x14ac:dyDescent="0.35">
      <c r="A5">
        <v>300</v>
      </c>
      <c r="B5">
        <v>5</v>
      </c>
      <c r="C5">
        <v>10</v>
      </c>
      <c r="D5">
        <v>21391.1365128203</v>
      </c>
      <c r="E5">
        <v>0.87469720840454102</v>
      </c>
      <c r="F5">
        <v>1.00000000003444E-4</v>
      </c>
      <c r="G5">
        <v>1</v>
      </c>
      <c r="H5">
        <v>3</v>
      </c>
      <c r="I5">
        <v>21391.115121683801</v>
      </c>
      <c r="J5">
        <v>26397.061243488799</v>
      </c>
      <c r="K5">
        <v>0.14122343063354401</v>
      </c>
      <c r="L5">
        <f t="shared" si="0"/>
        <v>23.401864261248157</v>
      </c>
      <c r="M5">
        <f t="shared" si="1"/>
        <v>18.964028137942002</v>
      </c>
    </row>
    <row r="6" spans="1:13" x14ac:dyDescent="0.35">
      <c r="A6">
        <v>300</v>
      </c>
      <c r="B6">
        <v>1</v>
      </c>
      <c r="C6">
        <v>21</v>
      </c>
      <c r="D6">
        <v>44165.667395026103</v>
      </c>
      <c r="E6">
        <v>736.98866081237702</v>
      </c>
      <c r="F6" s="2">
        <v>9.9999999997284498E-5</v>
      </c>
      <c r="G6">
        <v>1</v>
      </c>
      <c r="H6">
        <v>3</v>
      </c>
      <c r="I6">
        <v>44165.623229358702</v>
      </c>
      <c r="J6">
        <v>47640.684884522198</v>
      </c>
      <c r="K6">
        <v>0.37173843383789001</v>
      </c>
      <c r="L6">
        <f t="shared" si="0"/>
        <v>7.8681421440207826</v>
      </c>
      <c r="M6">
        <f t="shared" si="1"/>
        <v>7.2943150661809559</v>
      </c>
    </row>
    <row r="7" spans="1:13" x14ac:dyDescent="0.35">
      <c r="A7">
        <v>300</v>
      </c>
      <c r="B7">
        <v>3</v>
      </c>
      <c r="C7">
        <v>21</v>
      </c>
      <c r="D7">
        <v>40672.592714655497</v>
      </c>
      <c r="E7">
        <v>1190.03027057647</v>
      </c>
      <c r="F7">
        <v>1.00000000005453E-4</v>
      </c>
      <c r="G7">
        <v>1</v>
      </c>
      <c r="H7">
        <v>3</v>
      </c>
      <c r="I7">
        <v>40672.552042062802</v>
      </c>
      <c r="J7">
        <v>47160.784860086002</v>
      </c>
      <c r="K7">
        <v>1.0062606334686199</v>
      </c>
      <c r="L7">
        <f t="shared" si="0"/>
        <v>15.952246248350487</v>
      </c>
      <c r="M7">
        <f t="shared" si="1"/>
        <v>13.757686258343936</v>
      </c>
    </row>
    <row r="8" spans="1:13" x14ac:dyDescent="0.35">
      <c r="A8">
        <v>300</v>
      </c>
      <c r="B8">
        <v>5</v>
      </c>
      <c r="C8">
        <v>21</v>
      </c>
      <c r="D8">
        <v>41217.379953431497</v>
      </c>
      <c r="E8">
        <v>3602.2159368991802</v>
      </c>
      <c r="F8">
        <v>3.1221040869743102</v>
      </c>
      <c r="G8">
        <v>2</v>
      </c>
      <c r="H8">
        <v>1</v>
      </c>
      <c r="I8">
        <v>39930.5304493617</v>
      </c>
      <c r="J8">
        <v>47735.681833744296</v>
      </c>
      <c r="K8">
        <v>0.31632471084594699</v>
      </c>
      <c r="L8">
        <f t="shared" si="0"/>
        <v>15.814449845374336</v>
      </c>
      <c r="M8">
        <f t="shared" si="1"/>
        <v>16.350769664434004</v>
      </c>
    </row>
    <row r="9" spans="1:13" x14ac:dyDescent="0.35">
      <c r="A9">
        <v>300</v>
      </c>
      <c r="B9">
        <v>1</v>
      </c>
      <c r="C9">
        <v>43</v>
      </c>
      <c r="D9">
        <v>67653.020235472097</v>
      </c>
      <c r="E9">
        <v>3605.9886033534999</v>
      </c>
      <c r="F9">
        <v>16.7616724716191</v>
      </c>
      <c r="G9">
        <v>2</v>
      </c>
      <c r="H9">
        <v>1</v>
      </c>
      <c r="I9">
        <v>56313.242566444002</v>
      </c>
      <c r="J9">
        <v>73190.373139418603</v>
      </c>
      <c r="K9">
        <v>0.32641077041625899</v>
      </c>
      <c r="L9">
        <f t="shared" si="0"/>
        <v>8.1849308200480611</v>
      </c>
      <c r="M9">
        <f t="shared" si="1"/>
        <v>23.059221929126878</v>
      </c>
    </row>
    <row r="10" spans="1:13" x14ac:dyDescent="0.35">
      <c r="A10">
        <v>300</v>
      </c>
      <c r="B10">
        <v>3</v>
      </c>
      <c r="C10">
        <v>43</v>
      </c>
      <c r="D10">
        <v>69083.648686324494</v>
      </c>
      <c r="E10">
        <v>3604.14657521247</v>
      </c>
      <c r="F10">
        <v>19.382821067754101</v>
      </c>
      <c r="G10">
        <v>2</v>
      </c>
      <c r="H10">
        <v>1</v>
      </c>
      <c r="I10">
        <v>55693.288674378397</v>
      </c>
      <c r="J10">
        <v>75974.960839516003</v>
      </c>
      <c r="K10">
        <v>1.08722949028015</v>
      </c>
      <c r="L10">
        <f t="shared" si="0"/>
        <v>9.9753158442479375</v>
      </c>
      <c r="M10">
        <f t="shared" si="1"/>
        <v>26.695205816530976</v>
      </c>
    </row>
    <row r="11" spans="1:13" x14ac:dyDescent="0.35">
      <c r="A11">
        <v>300</v>
      </c>
      <c r="B11">
        <v>5</v>
      </c>
      <c r="C11">
        <v>43</v>
      </c>
      <c r="D11">
        <v>68253.803274646198</v>
      </c>
      <c r="E11">
        <v>3603.1674611568401</v>
      </c>
      <c r="F11">
        <v>20.349816423572399</v>
      </c>
      <c r="G11">
        <v>2</v>
      </c>
      <c r="H11">
        <v>1</v>
      </c>
      <c r="I11">
        <v>54364.279606149401</v>
      </c>
      <c r="J11">
        <v>78754.152217215393</v>
      </c>
      <c r="K11">
        <v>16.862753152847201</v>
      </c>
      <c r="L11">
        <f t="shared" si="0"/>
        <v>15.384269357587129</v>
      </c>
      <c r="M11">
        <f t="shared" si="1"/>
        <v>30.969633885201606</v>
      </c>
    </row>
    <row r="12" spans="1:13" x14ac:dyDescent="0.35">
      <c r="A12">
        <v>300</v>
      </c>
      <c r="B12">
        <v>1</v>
      </c>
      <c r="C12">
        <v>53</v>
      </c>
      <c r="D12">
        <v>94195.207657311301</v>
      </c>
      <c r="E12">
        <v>3603.1324617862701</v>
      </c>
      <c r="F12">
        <v>16.805318924076399</v>
      </c>
      <c r="G12">
        <v>2</v>
      </c>
      <c r="H12">
        <v>1</v>
      </c>
      <c r="I12">
        <v>78365.4025993041</v>
      </c>
      <c r="J12">
        <v>106631.698208655</v>
      </c>
      <c r="K12">
        <v>0.24738574028015101</v>
      </c>
      <c r="L12">
        <f t="shared" si="0"/>
        <v>13.20289095448307</v>
      </c>
      <c r="M12">
        <f t="shared" si="1"/>
        <v>26.508342344918784</v>
      </c>
    </row>
    <row r="13" spans="1:13" x14ac:dyDescent="0.35">
      <c r="A13">
        <v>300</v>
      </c>
      <c r="B13">
        <v>3</v>
      </c>
      <c r="C13">
        <v>53</v>
      </c>
      <c r="D13">
        <v>95169.621583602406</v>
      </c>
      <c r="E13">
        <v>3602.72717952728</v>
      </c>
      <c r="F13">
        <v>18.5181966725943</v>
      </c>
      <c r="G13">
        <v>2</v>
      </c>
      <c r="H13">
        <v>1</v>
      </c>
      <c r="I13">
        <v>77545.923886187098</v>
      </c>
      <c r="J13">
        <v>105482.62699348701</v>
      </c>
      <c r="K13">
        <v>0.57243442535400302</v>
      </c>
      <c r="L13">
        <f t="shared" si="0"/>
        <v>10.836446797074917</v>
      </c>
      <c r="M13">
        <f t="shared" si="1"/>
        <v>26.484648613297097</v>
      </c>
    </row>
    <row r="14" spans="1:13" x14ac:dyDescent="0.35">
      <c r="A14">
        <v>300</v>
      </c>
      <c r="B14">
        <v>5</v>
      </c>
      <c r="C14">
        <v>53</v>
      </c>
      <c r="D14">
        <v>92519.4638225909</v>
      </c>
      <c r="E14">
        <v>3602.1549785137099</v>
      </c>
      <c r="F14">
        <v>20.330454402448499</v>
      </c>
      <c r="G14">
        <v>2</v>
      </c>
      <c r="H14">
        <v>1</v>
      </c>
      <c r="I14">
        <v>73709.836416749196</v>
      </c>
      <c r="J14">
        <v>101259.42514032</v>
      </c>
      <c r="K14">
        <v>0.87117338180541903</v>
      </c>
      <c r="L14">
        <f t="shared" si="0"/>
        <v>9.4466190751907781</v>
      </c>
      <c r="M14">
        <f t="shared" si="1"/>
        <v>27.206937710138124</v>
      </c>
    </row>
    <row r="15" spans="1:13" x14ac:dyDescent="0.35">
      <c r="A15">
        <v>300</v>
      </c>
      <c r="B15">
        <v>1</v>
      </c>
      <c r="C15">
        <v>107</v>
      </c>
      <c r="D15">
        <v>162556.00270412001</v>
      </c>
      <c r="E15">
        <v>3602.05890798568</v>
      </c>
      <c r="F15">
        <v>17.232182357331801</v>
      </c>
      <c r="G15">
        <v>2</v>
      </c>
      <c r="H15">
        <v>1</v>
      </c>
      <c r="I15">
        <v>134544.055885357</v>
      </c>
      <c r="J15">
        <v>162969.772887603</v>
      </c>
      <c r="K15">
        <v>0.82751488685607899</v>
      </c>
      <c r="L15">
        <f t="shared" si="0"/>
        <v>0.25454008255611843</v>
      </c>
      <c r="M15">
        <f t="shared" si="1"/>
        <v>17.44232473211499</v>
      </c>
    </row>
    <row r="16" spans="1:13" x14ac:dyDescent="0.35">
      <c r="A16">
        <v>300</v>
      </c>
      <c r="B16">
        <v>3</v>
      </c>
      <c r="C16">
        <v>107</v>
      </c>
      <c r="D16">
        <v>211544.79285500501</v>
      </c>
      <c r="E16">
        <v>3603.4770104885101</v>
      </c>
      <c r="F16">
        <v>32.224868227412102</v>
      </c>
      <c r="G16">
        <v>2</v>
      </c>
      <c r="H16">
        <v>1</v>
      </c>
      <c r="I16">
        <v>143374.762115527</v>
      </c>
      <c r="J16">
        <v>178496.56350124601</v>
      </c>
      <c r="K16">
        <v>19.2537438869476</v>
      </c>
      <c r="L16">
        <f t="shared" si="0"/>
        <v>-15.62233175666517</v>
      </c>
      <c r="M16">
        <f t="shared" si="1"/>
        <v>19.676458020702363</v>
      </c>
    </row>
    <row r="17" spans="1:13" x14ac:dyDescent="0.35">
      <c r="A17">
        <v>300</v>
      </c>
      <c r="B17">
        <v>5</v>
      </c>
      <c r="C17">
        <v>107</v>
      </c>
      <c r="D17" s="2" t="s">
        <v>9</v>
      </c>
      <c r="E17">
        <v>3602.5202715396799</v>
      </c>
      <c r="F17" s="2" t="s">
        <v>9</v>
      </c>
      <c r="G17">
        <v>0</v>
      </c>
      <c r="H17">
        <v>1</v>
      </c>
      <c r="I17">
        <v>141861.49888510999</v>
      </c>
      <c r="J17">
        <v>176244.56970644399</v>
      </c>
      <c r="K17">
        <v>312.46529650688097</v>
      </c>
      <c r="L17" t="str">
        <f t="shared" si="0"/>
        <v>-</v>
      </c>
      <c r="M17">
        <f t="shared" si="1"/>
        <v>19.508726355996689</v>
      </c>
    </row>
    <row r="18" spans="1:13" x14ac:dyDescent="0.35">
      <c r="A18">
        <v>300</v>
      </c>
      <c r="B18">
        <v>1</v>
      </c>
      <c r="C18">
        <v>161</v>
      </c>
      <c r="D18">
        <v>251771.13826635201</v>
      </c>
      <c r="E18">
        <v>3603.4949555397002</v>
      </c>
      <c r="F18">
        <v>15.555655893779999</v>
      </c>
      <c r="G18">
        <v>2</v>
      </c>
      <c r="H18">
        <v>1</v>
      </c>
      <c r="I18">
        <v>212606.486357785</v>
      </c>
      <c r="J18">
        <v>248870.03382328001</v>
      </c>
      <c r="K18">
        <v>5.7101790904998699</v>
      </c>
      <c r="L18">
        <f t="shared" si="0"/>
        <v>-1.1522783997595767</v>
      </c>
      <c r="M18">
        <f t="shared" si="1"/>
        <v>14.571279196773595</v>
      </c>
    </row>
    <row r="19" spans="1:13" x14ac:dyDescent="0.35">
      <c r="A19">
        <v>300</v>
      </c>
      <c r="B19">
        <v>3</v>
      </c>
      <c r="C19">
        <v>161</v>
      </c>
      <c r="D19" s="2" t="s">
        <v>9</v>
      </c>
      <c r="E19">
        <v>3604.7496759891501</v>
      </c>
      <c r="F19" s="2" t="s">
        <v>9</v>
      </c>
      <c r="G19">
        <v>0</v>
      </c>
      <c r="H19">
        <v>1</v>
      </c>
      <c r="I19">
        <v>213986.067782892</v>
      </c>
      <c r="J19">
        <v>248818.10931894201</v>
      </c>
      <c r="K19">
        <v>433.46048259735102</v>
      </c>
      <c r="L19" t="str">
        <f t="shared" si="0"/>
        <v>-</v>
      </c>
      <c r="M19">
        <f t="shared" si="1"/>
        <v>13.998997754380218</v>
      </c>
    </row>
    <row r="20" spans="1:13" x14ac:dyDescent="0.35">
      <c r="A20">
        <v>300</v>
      </c>
      <c r="B20">
        <v>5</v>
      </c>
      <c r="C20">
        <v>161</v>
      </c>
      <c r="D20" s="2" t="s">
        <v>9</v>
      </c>
      <c r="E20">
        <v>3604.7805409431398</v>
      </c>
      <c r="F20" s="2" t="s">
        <v>9</v>
      </c>
      <c r="G20">
        <v>0</v>
      </c>
      <c r="H20">
        <v>1</v>
      </c>
      <c r="I20">
        <v>207908.96888997999</v>
      </c>
      <c r="J20">
        <v>241416.10575525399</v>
      </c>
      <c r="K20">
        <v>354.98658728599497</v>
      </c>
      <c r="L20" t="str">
        <f t="shared" si="0"/>
        <v>-</v>
      </c>
      <c r="M20">
        <f t="shared" si="1"/>
        <v>13.879412378245924</v>
      </c>
    </row>
  </sheetData>
  <mergeCells count="2">
    <mergeCell ref="C1:I1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 Searle</dc:creator>
  <cp:lastModifiedBy>Kit Searle</cp:lastModifiedBy>
  <dcterms:created xsi:type="dcterms:W3CDTF">2025-01-14T09:52:16Z</dcterms:created>
  <dcterms:modified xsi:type="dcterms:W3CDTF">2025-07-11T07:32:11Z</dcterms:modified>
</cp:coreProperties>
</file>