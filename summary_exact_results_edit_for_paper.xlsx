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earle\OneDrive - University of Edinburgh\Research\location_chargers\ev-station-solver\"/>
    </mc:Choice>
  </mc:AlternateContent>
  <xr:revisionPtr revIDLastSave="0" documentId="13_ncr:1_{4A9E3D99-768E-48F4-BC25-2AC182FAC62C}" xr6:coauthVersionLast="47" xr6:coauthVersionMax="47" xr10:uidLastSave="{00000000-0000-0000-0000-000000000000}"/>
  <bookViews>
    <workbookView xWindow="-110" yWindow="-110" windowWidth="19420" windowHeight="10300" xr2:uid="{A5355931-79B7-4141-8BAA-F85E000CA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</calcChain>
</file>

<file path=xl/sharedStrings.xml><?xml version="1.0" encoding="utf-8"?>
<sst xmlns="http://schemas.openxmlformats.org/spreadsheetml/2006/main" count="33" uniqueCount="14">
  <si>
    <t>T</t>
  </si>
  <si>
    <t>S</t>
  </si>
  <si>
    <t>num_vehicales</t>
  </si>
  <si>
    <t>Objective_Value</t>
  </si>
  <si>
    <t>Solve_Time</t>
  </si>
  <si>
    <t>MIP_Gap</t>
  </si>
  <si>
    <t>solstatus</t>
  </si>
  <si>
    <t>solvestatus</t>
  </si>
  <si>
    <t>lower_bound</t>
  </si>
  <si>
    <t>-</t>
  </si>
  <si>
    <t>exact</t>
  </si>
  <si>
    <t>gap_obj</t>
  </si>
  <si>
    <t>gap_lb</t>
  </si>
  <si>
    <t>heuristic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</si>
</sst>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164" fontId="0" fillId="0" borderId="0" xfId="1" applyNumberFormat="1" applyFont="1"/>
    <xf numFmtId="164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69B1-3C08-4ECC-ADE7-09056EA2CF4D}">
  <dimension ref="A1:M30"/>
  <sheetViews>
    <sheetView tabSelected="1" workbookViewId="0">
      <selection activeCell="P8" sqref="P8"/>
    </sheetView>
  </sheetViews>
  <sheetFormatPr defaultRowHeight="14.5" x14ac:dyDescent="0.35"/>
  <cols>
    <col min="4" max="4" width="12.08984375" style="4" bestFit="1" customWidth="1"/>
  </cols>
  <sheetData>
    <row r="1" spans="1:13" x14ac:dyDescent="0.35">
      <c r="C1" s="1" t="s">
        <v>10</v>
      </c>
      <c r="D1" s="1"/>
      <c r="E1" s="1"/>
      <c r="F1" s="1"/>
      <c r="G1" s="1"/>
      <c r="H1" s="1"/>
      <c r="I1" s="1"/>
      <c r="J1" s="1" t="s">
        <v>13</v>
      </c>
      <c r="K1" s="1"/>
      <c r="L1" s="1"/>
      <c r="M1" s="1"/>
    </row>
    <row r="2" spans="1:13" x14ac:dyDescent="0.35">
      <c r="A2" t="s">
        <v>0</v>
      </c>
      <c r="B2" t="s">
        <v>1</v>
      </c>
      <c r="C2" t="s">
        <v>2</v>
      </c>
      <c r="D2" s="4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3</v>
      </c>
      <c r="K2" t="s">
        <v>4</v>
      </c>
      <c r="L2" t="s">
        <v>11</v>
      </c>
      <c r="M2" t="s">
        <v>12</v>
      </c>
    </row>
    <row r="3" spans="1:13" x14ac:dyDescent="0.35">
      <c r="A3">
        <v>300</v>
      </c>
      <c r="B3">
        <v>1</v>
      </c>
      <c r="C3">
        <v>10</v>
      </c>
      <c r="D3" s="5">
        <v>16368.840099847999</v>
      </c>
      <c r="E3" s="2">
        <v>0.33305287361144997</v>
      </c>
      <c r="F3" s="3">
        <v>9.9999999994504902E-5</v>
      </c>
      <c r="G3" s="2">
        <v>1</v>
      </c>
      <c r="H3" s="2">
        <v>3</v>
      </c>
      <c r="I3" s="2">
        <v>16368.8237310079</v>
      </c>
      <c r="J3" s="2">
        <v>20756.381452552399</v>
      </c>
      <c r="K3" s="2">
        <v>0.17580294609069799</v>
      </c>
      <c r="L3" s="2">
        <f>IF(OR(G3=2,G3=1),100*(J3-D3)/D3,"-")</f>
        <v>26.804228802657452</v>
      </c>
      <c r="M3" s="2">
        <f>100*(J3-I3)/J3</f>
        <v>21.138355601982656</v>
      </c>
    </row>
    <row r="4" spans="1:13" x14ac:dyDescent="0.35">
      <c r="A4">
        <v>300</v>
      </c>
      <c r="B4">
        <v>3</v>
      </c>
      <c r="C4">
        <v>10</v>
      </c>
      <c r="D4" s="5">
        <v>21385.518118837801</v>
      </c>
      <c r="E4" s="2">
        <v>0.69778943061828602</v>
      </c>
      <c r="F4" s="3">
        <v>9.9999999992869898E-5</v>
      </c>
      <c r="G4" s="2">
        <v>1</v>
      </c>
      <c r="H4" s="2">
        <v>3</v>
      </c>
      <c r="I4" s="2">
        <v>21385.496733319698</v>
      </c>
      <c r="J4" s="2">
        <v>26305.716527890301</v>
      </c>
      <c r="K4" s="2">
        <v>0.17380499839782701</v>
      </c>
      <c r="L4" s="2">
        <f t="shared" ref="L4:L20" si="0">IF(OR(G4=2,G4=1),100*(J4-D4)/D4,"-")</f>
        <v>23.007150828477982</v>
      </c>
      <c r="M4" s="2">
        <f>100*(J4-I4)/J4</f>
        <v>18.703994583663981</v>
      </c>
    </row>
    <row r="5" spans="1:13" x14ac:dyDescent="0.35">
      <c r="A5">
        <v>300</v>
      </c>
      <c r="B5">
        <v>5</v>
      </c>
      <c r="C5">
        <v>10</v>
      </c>
      <c r="D5" s="5">
        <v>21391.1365128203</v>
      </c>
      <c r="E5" s="2">
        <v>0.91714739799499501</v>
      </c>
      <c r="F5" s="2">
        <v>1.00000000003444E-4</v>
      </c>
      <c r="G5" s="2">
        <v>1</v>
      </c>
      <c r="H5" s="2">
        <v>3</v>
      </c>
      <c r="I5" s="2">
        <v>21391.115121683801</v>
      </c>
      <c r="J5" s="2">
        <v>26401.363101203398</v>
      </c>
      <c r="K5" s="2">
        <v>0.18019771575927701</v>
      </c>
      <c r="L5" s="2">
        <f t="shared" si="0"/>
        <v>23.421974729488223</v>
      </c>
      <c r="M5" s="2">
        <f t="shared" ref="M5:M20" si="1">100*(J5-I5)/J5</f>
        <v>18.977232199390592</v>
      </c>
    </row>
    <row r="6" spans="1:13" x14ac:dyDescent="0.35">
      <c r="A6">
        <v>300</v>
      </c>
      <c r="B6">
        <v>10</v>
      </c>
      <c r="C6">
        <v>10</v>
      </c>
      <c r="D6" s="5">
        <v>20829.887538098301</v>
      </c>
      <c r="E6" s="2">
        <v>5.8260967731475803</v>
      </c>
      <c r="F6" s="3">
        <v>9.9999999993862797E-5</v>
      </c>
      <c r="G6" s="2">
        <v>1</v>
      </c>
      <c r="H6" s="2">
        <v>3</v>
      </c>
      <c r="I6" s="2">
        <v>20829.8667082108</v>
      </c>
      <c r="J6" s="2">
        <v>30838.535560037599</v>
      </c>
      <c r="K6" s="2">
        <v>0.239078998565673</v>
      </c>
      <c r="L6" s="2">
        <f t="shared" si="0"/>
        <v>48.049457797759452</v>
      </c>
      <c r="M6" s="2">
        <f t="shared" si="1"/>
        <v>32.455071779726872</v>
      </c>
    </row>
    <row r="7" spans="1:13" x14ac:dyDescent="0.35">
      <c r="A7">
        <v>300</v>
      </c>
      <c r="B7">
        <v>1</v>
      </c>
      <c r="C7">
        <v>21</v>
      </c>
      <c r="D7" s="5">
        <v>44165.667395026103</v>
      </c>
      <c r="E7" s="2">
        <v>716.05252933502197</v>
      </c>
      <c r="F7" s="3">
        <v>9.9999999997284498E-5</v>
      </c>
      <c r="G7" s="2">
        <v>1</v>
      </c>
      <c r="H7" s="2">
        <v>3</v>
      </c>
      <c r="I7" s="2">
        <v>44165.623229358702</v>
      </c>
      <c r="J7" s="2">
        <v>47640.684884522198</v>
      </c>
      <c r="K7" s="2">
        <v>0.26083350181579501</v>
      </c>
      <c r="L7" s="2">
        <f t="shared" si="0"/>
        <v>7.8681421440207826</v>
      </c>
      <c r="M7" s="2">
        <f t="shared" si="1"/>
        <v>7.2943150661809559</v>
      </c>
    </row>
    <row r="8" spans="1:13" x14ac:dyDescent="0.35">
      <c r="A8">
        <v>300</v>
      </c>
      <c r="B8">
        <v>3</v>
      </c>
      <c r="C8">
        <v>21</v>
      </c>
      <c r="D8" s="5">
        <v>40672.592714655497</v>
      </c>
      <c r="E8" s="2">
        <v>1185.5768866538999</v>
      </c>
      <c r="F8" s="2">
        <v>1.00000000005453E-4</v>
      </c>
      <c r="G8" s="2">
        <v>1</v>
      </c>
      <c r="H8" s="2">
        <v>3</v>
      </c>
      <c r="I8" s="2">
        <v>40672.552042062802</v>
      </c>
      <c r="J8" s="2">
        <v>47160.784780233</v>
      </c>
      <c r="K8" s="2">
        <v>0.232963562011718</v>
      </c>
      <c r="L8" s="2">
        <f t="shared" si="0"/>
        <v>15.952246052019253</v>
      </c>
      <c r="M8" s="2">
        <f t="shared" si="1"/>
        <v>13.75768611231779</v>
      </c>
    </row>
    <row r="9" spans="1:13" x14ac:dyDescent="0.35">
      <c r="A9">
        <v>300</v>
      </c>
      <c r="B9">
        <v>5</v>
      </c>
      <c r="C9">
        <v>21</v>
      </c>
      <c r="D9" s="5">
        <v>41217.379953431497</v>
      </c>
      <c r="E9" s="2">
        <v>3602.2733213901502</v>
      </c>
      <c r="F9" s="2">
        <v>3.3536025208978901</v>
      </c>
      <c r="G9" s="2">
        <v>2</v>
      </c>
      <c r="H9" s="2">
        <v>1</v>
      </c>
      <c r="I9" s="2">
        <v>39835.112860265202</v>
      </c>
      <c r="J9" s="2">
        <v>47727.587051522903</v>
      </c>
      <c r="K9" s="2">
        <v>0.24283909797668399</v>
      </c>
      <c r="L9" s="2">
        <f t="shared" si="0"/>
        <v>15.794810600399185</v>
      </c>
      <c r="M9" s="2">
        <f t="shared" si="1"/>
        <v>16.536503684415504</v>
      </c>
    </row>
    <row r="10" spans="1:13" x14ac:dyDescent="0.35">
      <c r="A10">
        <v>300</v>
      </c>
      <c r="B10">
        <v>10</v>
      </c>
      <c r="C10">
        <v>21</v>
      </c>
      <c r="D10" s="5">
        <v>42659.555790805003</v>
      </c>
      <c r="E10" s="2">
        <v>3603.7125899791699</v>
      </c>
      <c r="F10" s="2">
        <v>16.222625929731201</v>
      </c>
      <c r="G10" s="2">
        <v>2</v>
      </c>
      <c r="H10" s="2">
        <v>1</v>
      </c>
      <c r="I10" s="2">
        <v>35739.055631577699</v>
      </c>
      <c r="J10" s="2">
        <v>48583.103503145598</v>
      </c>
      <c r="K10" s="2">
        <v>0.30436325073242099</v>
      </c>
      <c r="L10" s="2">
        <f t="shared" si="0"/>
        <v>13.885629145761939</v>
      </c>
      <c r="M10" s="2">
        <f t="shared" si="1"/>
        <v>26.437273342853217</v>
      </c>
    </row>
    <row r="11" spans="1:13" x14ac:dyDescent="0.35">
      <c r="A11">
        <v>300</v>
      </c>
      <c r="B11">
        <v>1</v>
      </c>
      <c r="C11">
        <v>43</v>
      </c>
      <c r="D11" s="5">
        <v>67653.020235472097</v>
      </c>
      <c r="E11" s="2">
        <v>3607.47535705566</v>
      </c>
      <c r="F11" s="2">
        <v>16.749858792987801</v>
      </c>
      <c r="G11" s="2">
        <v>2</v>
      </c>
      <c r="H11" s="2">
        <v>1</v>
      </c>
      <c r="I11" s="2">
        <v>56321.234876839</v>
      </c>
      <c r="J11" s="2">
        <v>70558.376581877703</v>
      </c>
      <c r="K11" s="2">
        <v>0.28580379486083901</v>
      </c>
      <c r="L11" s="2">
        <f t="shared" si="0"/>
        <v>4.294496145616657</v>
      </c>
      <c r="M11" s="2">
        <f t="shared" si="1"/>
        <v>20.17781926787611</v>
      </c>
    </row>
    <row r="12" spans="1:13" x14ac:dyDescent="0.35">
      <c r="A12">
        <v>300</v>
      </c>
      <c r="B12">
        <v>3</v>
      </c>
      <c r="C12">
        <v>43</v>
      </c>
      <c r="D12" s="5">
        <v>69083.648686324494</v>
      </c>
      <c r="E12" s="2">
        <v>3604.0898311138099</v>
      </c>
      <c r="F12" s="2">
        <v>19.399032355240099</v>
      </c>
      <c r="G12" s="2">
        <v>2</v>
      </c>
      <c r="H12" s="2">
        <v>1</v>
      </c>
      <c r="I12" s="2">
        <v>55682.089325483998</v>
      </c>
      <c r="J12" s="2">
        <v>76096.258146445296</v>
      </c>
      <c r="K12" s="2">
        <v>1.84443807601928</v>
      </c>
      <c r="L12" s="2">
        <f t="shared" si="0"/>
        <v>10.150896186681853</v>
      </c>
      <c r="M12" s="2">
        <f t="shared" si="1"/>
        <v>26.826770879686034</v>
      </c>
    </row>
    <row r="13" spans="1:13" x14ac:dyDescent="0.35">
      <c r="A13">
        <v>300</v>
      </c>
      <c r="B13">
        <v>5</v>
      </c>
      <c r="C13">
        <v>43</v>
      </c>
      <c r="D13" s="5">
        <v>68253.803274646198</v>
      </c>
      <c r="E13" s="2">
        <v>3603.11296319961</v>
      </c>
      <c r="F13" s="2">
        <v>20.354767861112599</v>
      </c>
      <c r="G13" s="2">
        <v>2</v>
      </c>
      <c r="H13" s="2">
        <v>1</v>
      </c>
      <c r="I13" s="2">
        <v>54360.9000617114</v>
      </c>
      <c r="J13" s="2">
        <v>78754.152422876403</v>
      </c>
      <c r="K13" s="2">
        <v>5.2490577697753897</v>
      </c>
      <c r="L13" s="2">
        <f t="shared" si="0"/>
        <v>15.384269658905152</v>
      </c>
      <c r="M13" s="2">
        <f t="shared" si="1"/>
        <v>30.973925324195708</v>
      </c>
    </row>
    <row r="14" spans="1:13" x14ac:dyDescent="0.35">
      <c r="A14">
        <v>300</v>
      </c>
      <c r="B14">
        <v>10</v>
      </c>
      <c r="C14">
        <v>43</v>
      </c>
      <c r="D14" s="5">
        <v>74240.340998927597</v>
      </c>
      <c r="E14" s="2">
        <v>3602.7551026344299</v>
      </c>
      <c r="F14" s="2">
        <v>26.387876292998499</v>
      </c>
      <c r="G14" s="2">
        <v>2</v>
      </c>
      <c r="H14" s="2">
        <v>1</v>
      </c>
      <c r="I14" s="2">
        <v>54649.891656630301</v>
      </c>
      <c r="J14" s="2">
        <v>84139.712195130705</v>
      </c>
      <c r="K14" s="2">
        <v>307.02156209945599</v>
      </c>
      <c r="L14" s="2">
        <f t="shared" si="0"/>
        <v>13.334221075770794</v>
      </c>
      <c r="M14" s="2">
        <f t="shared" si="1"/>
        <v>35.048634906320757</v>
      </c>
    </row>
    <row r="15" spans="1:13" x14ac:dyDescent="0.35">
      <c r="A15">
        <v>300</v>
      </c>
      <c r="B15">
        <v>1</v>
      </c>
      <c r="C15">
        <v>53</v>
      </c>
      <c r="D15" s="5">
        <v>94195.207657311301</v>
      </c>
      <c r="E15" s="2">
        <v>3603.2201833724898</v>
      </c>
      <c r="F15" s="2">
        <v>16.805318924076499</v>
      </c>
      <c r="G15" s="2">
        <v>2</v>
      </c>
      <c r="H15" s="2">
        <v>1</v>
      </c>
      <c r="I15" s="2">
        <v>78365.402599303998</v>
      </c>
      <c r="J15" s="2">
        <v>106631.698208655</v>
      </c>
      <c r="K15" s="2">
        <v>0.388025522232055</v>
      </c>
      <c r="L15" s="2">
        <f t="shared" si="0"/>
        <v>13.20289095448307</v>
      </c>
      <c r="M15" s="2">
        <f t="shared" si="1"/>
        <v>26.50834234491888</v>
      </c>
    </row>
    <row r="16" spans="1:13" x14ac:dyDescent="0.35">
      <c r="A16">
        <v>300</v>
      </c>
      <c r="B16">
        <v>3</v>
      </c>
      <c r="C16">
        <v>53</v>
      </c>
      <c r="D16" s="5">
        <v>95169.621583602406</v>
      </c>
      <c r="E16" s="2">
        <v>3603.00038814544</v>
      </c>
      <c r="F16" s="2">
        <v>18.5181966725943</v>
      </c>
      <c r="G16" s="2">
        <v>2</v>
      </c>
      <c r="H16" s="2">
        <v>1</v>
      </c>
      <c r="I16" s="2">
        <v>77545.923886187098</v>
      </c>
      <c r="J16" s="2">
        <v>105571.866384754</v>
      </c>
      <c r="K16" s="2">
        <v>1.1043171882629299</v>
      </c>
      <c r="L16" s="2">
        <f t="shared" si="0"/>
        <v>10.930215575159844</v>
      </c>
      <c r="M16" s="2">
        <f t="shared" si="1"/>
        <v>26.546790786502783</v>
      </c>
    </row>
    <row r="17" spans="1:13" x14ac:dyDescent="0.35">
      <c r="A17">
        <v>300</v>
      </c>
      <c r="B17">
        <v>5</v>
      </c>
      <c r="C17">
        <v>53</v>
      </c>
      <c r="D17" s="5">
        <v>92519.4638225909</v>
      </c>
      <c r="E17" s="2">
        <v>3602.1311836242598</v>
      </c>
      <c r="F17" s="2">
        <v>20.330454402448499</v>
      </c>
      <c r="G17" s="2">
        <v>2</v>
      </c>
      <c r="H17" s="2">
        <v>1</v>
      </c>
      <c r="I17" s="2">
        <v>73709.836416749196</v>
      </c>
      <c r="J17" s="2">
        <v>101259.452806938</v>
      </c>
      <c r="K17" s="2">
        <v>1.4535274505615201</v>
      </c>
      <c r="L17" s="2">
        <f t="shared" si="0"/>
        <v>9.4466489787557748</v>
      </c>
      <c r="M17" s="2">
        <f t="shared" si="1"/>
        <v>27.206957599025447</v>
      </c>
    </row>
    <row r="18" spans="1:13" x14ac:dyDescent="0.35">
      <c r="A18">
        <v>300</v>
      </c>
      <c r="B18">
        <v>10</v>
      </c>
      <c r="C18">
        <v>53</v>
      </c>
      <c r="D18" s="5" t="s">
        <v>9</v>
      </c>
      <c r="E18" s="2">
        <v>3604.61067700386</v>
      </c>
      <c r="F18" s="3" t="s">
        <v>9</v>
      </c>
      <c r="G18" s="2">
        <v>0</v>
      </c>
      <c r="H18" s="2">
        <v>1</v>
      </c>
      <c r="I18" s="2">
        <v>74233.724160638201</v>
      </c>
      <c r="J18" s="2">
        <v>106685.95957426001</v>
      </c>
      <c r="K18" s="2">
        <v>11.474839210510201</v>
      </c>
      <c r="L18" s="2" t="str">
        <f t="shared" si="0"/>
        <v>-</v>
      </c>
      <c r="M18" s="2">
        <f t="shared" si="1"/>
        <v>30.418468881121182</v>
      </c>
    </row>
    <row r="19" spans="1:13" x14ac:dyDescent="0.35">
      <c r="A19">
        <v>300</v>
      </c>
      <c r="B19">
        <v>1</v>
      </c>
      <c r="C19">
        <v>107</v>
      </c>
      <c r="D19" s="5">
        <v>162556.00270412001</v>
      </c>
      <c r="E19" s="2">
        <v>3602.0220911502802</v>
      </c>
      <c r="F19" s="2">
        <v>17.232182357331801</v>
      </c>
      <c r="G19" s="2">
        <v>2</v>
      </c>
      <c r="H19" s="2">
        <v>1</v>
      </c>
      <c r="I19" s="2">
        <v>134544.055885357</v>
      </c>
      <c r="J19" s="2">
        <v>163323.70609223799</v>
      </c>
      <c r="K19" s="2">
        <v>2.3477609157562198</v>
      </c>
      <c r="L19" s="2">
        <f t="shared" si="0"/>
        <v>0.47227009482715571</v>
      </c>
      <c r="M19" s="2">
        <f t="shared" si="1"/>
        <v>17.621232640059933</v>
      </c>
    </row>
    <row r="20" spans="1:13" x14ac:dyDescent="0.35">
      <c r="A20">
        <v>300</v>
      </c>
      <c r="B20">
        <v>3</v>
      </c>
      <c r="C20">
        <v>107</v>
      </c>
      <c r="D20" s="5">
        <v>211544.79285500501</v>
      </c>
      <c r="E20" s="2">
        <v>3603.3909072875899</v>
      </c>
      <c r="F20" s="2">
        <v>32.224868227412102</v>
      </c>
      <c r="G20" s="2">
        <v>2</v>
      </c>
      <c r="H20" s="2">
        <v>1</v>
      </c>
      <c r="I20" s="2">
        <v>143374.762115527</v>
      </c>
      <c r="J20" s="2">
        <v>178427.879881039</v>
      </c>
      <c r="K20" s="2">
        <v>53.665136575698803</v>
      </c>
      <c r="L20" s="2">
        <f t="shared" si="0"/>
        <v>-15.654799405374485</v>
      </c>
      <c r="M20" s="2">
        <f t="shared" si="1"/>
        <v>19.645538460067186</v>
      </c>
    </row>
    <row r="21" spans="1:13" x14ac:dyDescent="0.35">
      <c r="A21">
        <v>300</v>
      </c>
      <c r="B21">
        <v>5</v>
      </c>
      <c r="C21">
        <v>107</v>
      </c>
      <c r="D21" s="5" t="s">
        <v>9</v>
      </c>
      <c r="E21" s="2">
        <v>3602.6455917358398</v>
      </c>
      <c r="F21" s="3" t="s">
        <v>9</v>
      </c>
      <c r="G21" s="2">
        <v>0</v>
      </c>
      <c r="H21" s="2">
        <v>1</v>
      </c>
      <c r="I21" s="2">
        <v>141861.49888510999</v>
      </c>
      <c r="J21" s="2">
        <v>176449.15930732299</v>
      </c>
      <c r="K21" s="2">
        <v>411.83115077018698</v>
      </c>
      <c r="L21" s="2" t="str">
        <f t="shared" ref="L21:L29" si="2">IF(OR(G21=2,G21=1),100*(J21-D21)/D21,"-")</f>
        <v>-</v>
      </c>
      <c r="M21" s="2">
        <f t="shared" ref="M21:M30" si="3">100*(J21-I21)/J21</f>
        <v>19.602054528336616</v>
      </c>
    </row>
    <row r="22" spans="1:13" x14ac:dyDescent="0.35">
      <c r="A22">
        <v>300</v>
      </c>
      <c r="B22">
        <v>10</v>
      </c>
      <c r="C22">
        <v>107</v>
      </c>
      <c r="D22" s="5" t="s">
        <v>9</v>
      </c>
      <c r="E22" s="2">
        <v>3603.3613801002498</v>
      </c>
      <c r="F22" s="3" t="s">
        <v>9</v>
      </c>
      <c r="G22" s="2">
        <v>0</v>
      </c>
      <c r="H22" s="2">
        <v>1</v>
      </c>
      <c r="I22" s="2">
        <v>134589.432921492</v>
      </c>
      <c r="J22" s="2">
        <v>167360.99821518999</v>
      </c>
      <c r="K22" s="2">
        <v>429.221746206283</v>
      </c>
      <c r="L22" s="2" t="str">
        <f t="shared" si="2"/>
        <v>-</v>
      </c>
      <c r="M22" s="2">
        <f t="shared" si="3"/>
        <v>19.581363425880657</v>
      </c>
    </row>
    <row r="23" spans="1:13" x14ac:dyDescent="0.35">
      <c r="A23">
        <v>300</v>
      </c>
      <c r="B23">
        <v>1</v>
      </c>
      <c r="C23">
        <v>161</v>
      </c>
      <c r="D23" s="5">
        <v>251771.13826635201</v>
      </c>
      <c r="E23" s="2">
        <v>3603.4493174552899</v>
      </c>
      <c r="F23" s="2">
        <v>15.555655893779999</v>
      </c>
      <c r="G23" s="2">
        <v>2</v>
      </c>
      <c r="H23" s="2">
        <v>1</v>
      </c>
      <c r="I23" s="2">
        <v>212606.486357785</v>
      </c>
      <c r="J23" s="2">
        <v>248876.132297345</v>
      </c>
      <c r="K23" s="2">
        <v>8.5787053108215297</v>
      </c>
      <c r="L23" s="2">
        <f t="shared" si="2"/>
        <v>-1.149856170544989</v>
      </c>
      <c r="M23" s="2">
        <f t="shared" si="3"/>
        <v>14.573372546720069</v>
      </c>
    </row>
    <row r="24" spans="1:13" x14ac:dyDescent="0.35">
      <c r="A24">
        <v>300</v>
      </c>
      <c r="B24">
        <v>3</v>
      </c>
      <c r="C24">
        <v>161</v>
      </c>
      <c r="D24" s="5" t="s">
        <v>9</v>
      </c>
      <c r="E24" s="2">
        <v>3604.5972084998998</v>
      </c>
      <c r="F24" s="3" t="s">
        <v>9</v>
      </c>
      <c r="G24" s="2">
        <v>0</v>
      </c>
      <c r="H24" s="2">
        <v>1</v>
      </c>
      <c r="I24" s="2">
        <v>213986.067782892</v>
      </c>
      <c r="J24" s="2">
        <v>248780.3163067</v>
      </c>
      <c r="K24" s="2">
        <v>381.62372803687998</v>
      </c>
      <c r="L24" s="2" t="str">
        <f t="shared" si="2"/>
        <v>-</v>
      </c>
      <c r="M24" s="2">
        <f t="shared" si="3"/>
        <v>13.985933067515333</v>
      </c>
    </row>
    <row r="25" spans="1:13" x14ac:dyDescent="0.35">
      <c r="A25">
        <v>300</v>
      </c>
      <c r="B25">
        <v>5</v>
      </c>
      <c r="C25">
        <v>161</v>
      </c>
      <c r="D25" s="5" t="s">
        <v>9</v>
      </c>
      <c r="E25" s="2">
        <v>3604.9487357139501</v>
      </c>
      <c r="F25" s="3" t="s">
        <v>9</v>
      </c>
      <c r="G25" s="2">
        <v>0</v>
      </c>
      <c r="H25" s="2">
        <v>1</v>
      </c>
      <c r="I25" s="2">
        <v>207908.96888997999</v>
      </c>
      <c r="J25" s="2">
        <v>241302.47918765899</v>
      </c>
      <c r="K25" s="2">
        <v>434.561668157577</v>
      </c>
      <c r="L25" s="2" t="str">
        <f t="shared" si="2"/>
        <v>-</v>
      </c>
      <c r="M25" s="2">
        <f t="shared" si="3"/>
        <v>13.838859182092833</v>
      </c>
    </row>
    <row r="26" spans="1:13" x14ac:dyDescent="0.35">
      <c r="A26">
        <v>300</v>
      </c>
      <c r="B26">
        <v>10</v>
      </c>
      <c r="C26">
        <v>161</v>
      </c>
      <c r="D26" s="5" t="s">
        <v>9</v>
      </c>
      <c r="E26" s="2">
        <v>3606.1369366645799</v>
      </c>
      <c r="F26" s="3" t="s">
        <v>9</v>
      </c>
      <c r="G26" s="2">
        <v>0</v>
      </c>
      <c r="H26" s="2">
        <v>1</v>
      </c>
      <c r="I26" s="2">
        <v>203427.019402545</v>
      </c>
      <c r="J26" s="2">
        <v>236823.06035222899</v>
      </c>
      <c r="K26" s="2">
        <v>1375.00855541229</v>
      </c>
      <c r="L26" s="2" t="str">
        <f t="shared" si="2"/>
        <v>-</v>
      </c>
      <c r="M26" s="2">
        <f t="shared" si="3"/>
        <v>14.101684565689576</v>
      </c>
    </row>
    <row r="27" spans="1:13" x14ac:dyDescent="0.35">
      <c r="A27">
        <v>300</v>
      </c>
      <c r="B27">
        <v>1</v>
      </c>
      <c r="C27">
        <v>269</v>
      </c>
      <c r="D27" s="5">
        <v>425189.46222162398</v>
      </c>
      <c r="E27" s="2">
        <v>3607.09753513336</v>
      </c>
      <c r="F27" s="2">
        <v>13.4305458515792</v>
      </c>
      <c r="G27" s="2">
        <v>2</v>
      </c>
      <c r="H27" s="2">
        <v>1</v>
      </c>
      <c r="I27" s="2">
        <v>368084.196541866</v>
      </c>
      <c r="J27" s="2">
        <v>409354.90881069202</v>
      </c>
      <c r="K27" s="2">
        <v>1226.2049896717001</v>
      </c>
      <c r="L27" s="2">
        <f t="shared" si="2"/>
        <v>-3.7241170861093496</v>
      </c>
      <c r="M27" s="2">
        <f t="shared" si="3"/>
        <v>10.081890159502608</v>
      </c>
    </row>
    <row r="28" spans="1:13" x14ac:dyDescent="0.35">
      <c r="A28">
        <v>300</v>
      </c>
      <c r="B28">
        <v>3</v>
      </c>
      <c r="C28">
        <v>269</v>
      </c>
      <c r="D28" s="5" t="s">
        <v>9</v>
      </c>
      <c r="E28" s="2">
        <v>3607.3669352531401</v>
      </c>
      <c r="F28" s="3" t="s">
        <v>9</v>
      </c>
      <c r="G28" s="2">
        <v>0</v>
      </c>
      <c r="H28" s="2">
        <v>1</v>
      </c>
      <c r="I28" s="2">
        <v>333471.45947617799</v>
      </c>
      <c r="J28" s="2">
        <v>372230.35841539298</v>
      </c>
      <c r="K28" s="2">
        <v>972.39754152297905</v>
      </c>
      <c r="L28" s="2" t="str">
        <f t="shared" si="2"/>
        <v>-</v>
      </c>
      <c r="M28" s="2">
        <f t="shared" si="3"/>
        <v>10.412610917662374</v>
      </c>
    </row>
    <row r="29" spans="1:13" x14ac:dyDescent="0.35">
      <c r="A29">
        <v>300</v>
      </c>
      <c r="B29">
        <v>5</v>
      </c>
      <c r="C29">
        <v>269</v>
      </c>
      <c r="D29" s="5" t="s">
        <v>9</v>
      </c>
      <c r="E29" s="2">
        <v>3610.7116115093199</v>
      </c>
      <c r="F29" s="3" t="s">
        <v>9</v>
      </c>
      <c r="G29" s="2">
        <v>0</v>
      </c>
      <c r="H29" s="2">
        <v>1</v>
      </c>
      <c r="I29" s="2">
        <v>335674.74667185202</v>
      </c>
      <c r="J29" s="2">
        <v>373182.865152743</v>
      </c>
      <c r="K29" s="2">
        <v>1419.69875121116</v>
      </c>
      <c r="L29" s="2" t="str">
        <f t="shared" si="2"/>
        <v>-</v>
      </c>
      <c r="M29" s="2">
        <f t="shared" si="3"/>
        <v>10.050868349901057</v>
      </c>
    </row>
    <row r="30" spans="1:13" x14ac:dyDescent="0.35">
      <c r="A30">
        <v>300</v>
      </c>
      <c r="B30">
        <v>10</v>
      </c>
      <c r="C30">
        <v>269</v>
      </c>
      <c r="D30" s="5" t="s">
        <v>9</v>
      </c>
      <c r="E30" s="2">
        <v>8099.5635721683502</v>
      </c>
      <c r="F30" s="3" t="s">
        <v>9</v>
      </c>
      <c r="G30" s="2">
        <v>0</v>
      </c>
      <c r="H30" s="2">
        <v>1</v>
      </c>
      <c r="I30" s="2">
        <v>351664.87402640801</v>
      </c>
      <c r="J30" s="2">
        <v>389964.56175239902</v>
      </c>
      <c r="K30" s="2">
        <v>8082.1234893798801</v>
      </c>
      <c r="L30" s="2" t="str">
        <f>IF(OR(G30=2,G30=1),100*(J30-#REF!)/#REF!,"-")</f>
        <v>-</v>
      </c>
      <c r="M30" s="2">
        <f t="shared" si="3"/>
        <v>9.8213251875714569</v>
      </c>
    </row>
  </sheetData>
  <mergeCells count="2">
    <mergeCell ref="C1:I1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 Searle</dc:creator>
  <cp:lastModifiedBy>Kit Searle</cp:lastModifiedBy>
  <dcterms:created xsi:type="dcterms:W3CDTF">2025-01-14T09:52:16Z</dcterms:created>
  <dcterms:modified xsi:type="dcterms:W3CDTF">2025-07-17T07:41:07Z</dcterms:modified>
</cp:coreProperties>
</file>